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culadora" sheetId="1" state="visible" r:id="rId1"/>
    <sheet xmlns:r="http://schemas.openxmlformats.org/officeDocument/2006/relationships" name="Notas y fuent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color rgb="00FFFFFF"/>
    </font>
    <font>
      <b val="1"/>
    </font>
  </fonts>
  <fills count="5">
    <fill>
      <patternFill/>
    </fill>
    <fill>
      <patternFill patternType="gray125"/>
    </fill>
    <fill>
      <patternFill patternType="solid">
        <fgColor rgb="000F5C66"/>
      </patternFill>
    </fill>
    <fill>
      <patternFill patternType="solid">
        <fgColor rgb="00FFF4CC"/>
      </patternFill>
    </fill>
    <fill>
      <patternFill patternType="solid">
        <fgColor rgb="00E3F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3" fillId="0" borderId="0" pivotButton="0" quotePrefix="0" xfId="0"/>
    <xf numFmtId="3" fontId="0" fillId="3" borderId="1" applyProtection="1" pivotButton="0" quotePrefix="0" xfId="0">
      <protection locked="0" hidden="0"/>
    </xf>
    <xf numFmtId="4" fontId="0" fillId="3" borderId="1" applyProtection="1" pivotButton="0" quotePrefix="0" xfId="0">
      <protection locked="0" hidden="0"/>
    </xf>
    <xf numFmtId="4" fontId="0" fillId="4" borderId="1" applyAlignment="1" pivotButton="0" quotePrefix="0" xfId="0">
      <alignment vertical="top" wrapText="1"/>
    </xf>
    <xf numFmtId="3" fontId="0" fillId="4" borderId="1" applyAlignment="1" pivotButton="0" quotePrefix="0" xfId="0">
      <alignment vertical="top" wrapText="1"/>
    </xf>
    <xf numFmtId="164" fontId="0" fillId="4" borderId="1" applyAlignment="1" pivotButton="0" quotePrefix="0" xfId="0">
      <alignment vertical="top" wrapText="1"/>
    </xf>
    <xf numFmtId="0" fontId="3" fillId="0" borderId="0" applyAlignment="1" pivotButton="0" quotePrefix="0" xfId="0">
      <alignment vertical="top" wrapText="1"/>
    </xf>
    <xf numFmtId="3" fontId="3" fillId="4" borderId="1" applyAlignment="1" pivotButton="0" quotePrefix="0" xfId="0">
      <alignment vertical="top" wrapText="1"/>
    </xf>
    <xf numFmtId="49"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18" customWidth="1" min="2" max="2"/>
    <col width="24" customWidth="1" min="3" max="3"/>
    <col width="24" customWidth="1" min="4" max="4"/>
    <col width="24" customWidth="1" min="5" max="5"/>
  </cols>
  <sheetData>
    <row r="1">
      <c r="A1" s="1" t="inlineStr">
        <is>
          <t>Costo de un punto de adherencia · plantilla</t>
        </is>
      </c>
    </row>
    <row r="2" ht="30" customHeight="1">
      <c r="A2" s="2" t="inlineStr">
        <is>
          <t>Celdas amarillas: entradas editables. Celdas azules: resultados con fórmula (protegidas, sin contraseña).</t>
        </is>
      </c>
    </row>
    <row r="4" ht="34" customHeight="1">
      <c r="A4" s="3" t="inlineStr">
        <is>
          <t>Concepto</t>
        </is>
      </c>
      <c r="B4" s="3" t="inlineStr">
        <is>
          <t>Unidad</t>
        </is>
      </c>
      <c r="C4" s="3" t="inlineStr">
        <is>
          <t>Caso real · SMS VPH (Compensar EPS)</t>
        </is>
      </c>
      <c r="D4" s="3" t="inlineStr">
        <is>
          <t>Ejercicio ilustrativo · incentivo</t>
        </is>
      </c>
      <c r="E4" s="3" t="inlineStr">
        <is>
          <t>Mi programa (edite estos valores)</t>
        </is>
      </c>
    </row>
    <row r="5">
      <c r="A5" s="4" t="inlineStr">
        <is>
          <t>ENTRADAS</t>
        </is>
      </c>
    </row>
    <row r="6">
      <c r="A6" s="2" t="inlineStr">
        <is>
          <t>Personas intervenidas</t>
        </is>
      </c>
      <c r="B6" t="inlineStr">
        <is>
          <t>personas</t>
        </is>
      </c>
      <c r="C6" s="5" t="n">
        <v>3265</v>
      </c>
      <c r="D6" s="5" t="n">
        <v>500</v>
      </c>
      <c r="E6" s="5" t="n">
        <v>1000</v>
      </c>
    </row>
    <row r="7">
      <c r="A7" s="2" t="inlineStr">
        <is>
          <t>Costo variable por persona intervenida</t>
        </is>
      </c>
      <c r="B7" t="inlineStr">
        <is>
          <t>COP</t>
        </is>
      </c>
      <c r="C7" s="6" t="n">
        <v>45.3</v>
      </c>
      <c r="D7" s="6" t="n">
        <v>240000</v>
      </c>
      <c r="E7" s="6" t="n">
        <v>10000</v>
      </c>
    </row>
    <row r="8">
      <c r="A8" s="2" t="inlineStr">
        <is>
          <t>Costo fijo del programa</t>
        </is>
      </c>
      <c r="B8" t="inlineStr">
        <is>
          <t>COP</t>
        </is>
      </c>
      <c r="C8" s="5" t="n">
        <v>0</v>
      </c>
      <c r="D8" s="5" t="n">
        <v>0</v>
      </c>
      <c r="E8" s="5" t="n">
        <v>5000000</v>
      </c>
    </row>
    <row r="9">
      <c r="A9" s="2" t="inlineStr">
        <is>
          <t>Tasa sin la intervención (grupo de comparación)</t>
        </is>
      </c>
      <c r="B9" t="inlineStr">
        <is>
          <t>%</t>
        </is>
      </c>
      <c r="C9" s="6" t="n">
        <v>4.05</v>
      </c>
      <c r="D9" s="6" t="n">
        <v>50</v>
      </c>
      <c r="E9" s="6" t="n">
        <v>40</v>
      </c>
    </row>
    <row r="10">
      <c r="A10" s="2" t="inlineStr">
        <is>
          <t>Tasa con la intervención</t>
        </is>
      </c>
      <c r="B10" t="inlineStr">
        <is>
          <t>%</t>
        </is>
      </c>
      <c r="C10" s="6" t="n">
        <v>6.83</v>
      </c>
      <c r="D10" s="6" t="n">
        <v>62</v>
      </c>
      <c r="E10" s="6" t="n">
        <v>45</v>
      </c>
    </row>
    <row r="11">
      <c r="A11" s="2" t="inlineStr">
        <is>
          <t>Tasa sostenida tras retirar la intervención (opcional)</t>
        </is>
      </c>
      <c r="B11" t="inlineStr">
        <is>
          <t>%</t>
        </is>
      </c>
      <c r="C11" s="6" t="n"/>
      <c r="D11" s="6" t="n">
        <v>52</v>
      </c>
      <c r="E11" s="6" t="n"/>
    </row>
    <row r="12">
      <c r="A12" s="2" t="inlineStr">
        <is>
          <t>Valor de referencia por persona adicional (opcional)</t>
        </is>
      </c>
      <c r="B12" t="inlineStr">
        <is>
          <t>COP</t>
        </is>
      </c>
      <c r="C12" s="5" t="n"/>
      <c r="D12" s="5" t="n"/>
      <c r="E12" s="5" t="n">
        <v>500000</v>
      </c>
    </row>
    <row r="14">
      <c r="A14" s="4" t="inlineStr">
        <is>
          <t>RESULTADOS</t>
        </is>
      </c>
    </row>
    <row r="15">
      <c r="A15" s="2" t="inlineStr">
        <is>
          <t>Diferencia</t>
        </is>
      </c>
      <c r="B15" t="inlineStr">
        <is>
          <t>puntos porcentuales</t>
        </is>
      </c>
      <c r="C15" s="7">
        <f>C10-C9</f>
        <v/>
      </c>
      <c r="D15" s="7">
        <f>D10-D9</f>
        <v/>
      </c>
      <c r="E15" s="7">
        <f>E10-E9</f>
        <v/>
      </c>
    </row>
    <row r="16">
      <c r="A16" s="2" t="inlineStr">
        <is>
          <t>Cambio relativo</t>
        </is>
      </c>
      <c r="B16" t="inlineStr">
        <is>
          <t>%</t>
        </is>
      </c>
      <c r="C16" s="8">
        <f>IF(C9&gt;0,(C10-C9)/C9*100,"—")</f>
        <v/>
      </c>
      <c r="D16" s="8">
        <f>IF(D9&gt;0,(D10-D9)/D9*100,"—")</f>
        <v/>
      </c>
      <c r="E16" s="8">
        <f>IF(E9&gt;0,(E10-E9)/E9*100,"—")</f>
        <v/>
      </c>
    </row>
    <row r="17">
      <c r="A17" s="2" t="inlineStr">
        <is>
          <t>Personas adicionales con la conducta</t>
        </is>
      </c>
      <c r="B17" t="inlineStr">
        <is>
          <t>personas</t>
        </is>
      </c>
      <c r="C17" s="9">
        <f>C6*(C10-C9)/100</f>
        <v/>
      </c>
      <c r="D17" s="9">
        <f>D6*(D10-D9)/100</f>
        <v/>
      </c>
      <c r="E17" s="9">
        <f>E6*(E10-E9)/100</f>
        <v/>
      </c>
    </row>
    <row r="18">
      <c r="A18" s="2" t="inlineStr">
        <is>
          <t>Costo total</t>
        </is>
      </c>
      <c r="B18" t="inlineStr">
        <is>
          <t>COP</t>
        </is>
      </c>
      <c r="C18" s="8">
        <f>C8+C6*C7</f>
        <v/>
      </c>
      <c r="D18" s="8">
        <f>D8+D6*D7</f>
        <v/>
      </c>
      <c r="E18" s="8">
        <f>E8+E6*E7</f>
        <v/>
      </c>
    </row>
    <row r="19">
      <c r="A19" s="10" t="inlineStr">
        <is>
          <t>Costo de un punto de adherencia</t>
        </is>
      </c>
      <c r="B19" s="4" t="inlineStr">
        <is>
          <t>COP por punto</t>
        </is>
      </c>
      <c r="C19" s="11">
        <f>IF(C10-C9&gt;0,(C8+C6*C7)/(C10-C9),"—")</f>
        <v/>
      </c>
      <c r="D19" s="11">
        <f>IF(D10-D9&gt;0,(D8+D6*D7)/(D10-D9),"—")</f>
        <v/>
      </c>
      <c r="E19" s="11">
        <f>IF(E10-E9&gt;0,(E8+E6*E7)/(E10-E9),"—")</f>
        <v/>
      </c>
    </row>
    <row r="20">
      <c r="A20" s="2" t="inlineStr">
        <is>
          <t>Personas a intervenir por cada adicional (NNT)</t>
        </is>
      </c>
      <c r="B20" t="inlineStr">
        <is>
          <t>personas</t>
        </is>
      </c>
      <c r="C20" s="9">
        <f>IF(C10-C9&gt;0,100/(C10-C9),"—")</f>
        <v/>
      </c>
      <c r="D20" s="9">
        <f>IF(D10-D9&gt;0,100/(D10-D9),"—")</f>
        <v/>
      </c>
      <c r="E20" s="9">
        <f>IF(E10-E9&gt;0,100/(E10-E9),"—")</f>
        <v/>
      </c>
    </row>
    <row r="21">
      <c r="A21" s="10" t="inlineStr">
        <is>
          <t>Costo por persona adicional</t>
        </is>
      </c>
      <c r="B21" s="4" t="inlineStr">
        <is>
          <t>COP</t>
        </is>
      </c>
      <c r="C21" s="11">
        <f>IF(C6*(C10-C9)&gt;0,(C8+C6*C7)/(C6*(C10-C9)/100),"—")</f>
        <v/>
      </c>
      <c r="D21" s="11">
        <f>IF(D6*(D10-D9)&gt;0,(D8+D6*D7)/(D6*(D10-D9)/100),"—")</f>
        <v/>
      </c>
      <c r="E21" s="11">
        <f>IF(E6*(E10-E9)&gt;0,(E8+E6*E7)/(E6*(E10-E9)/100),"—")</f>
        <v/>
      </c>
    </row>
    <row r="22">
      <c r="A22" s="2" t="inlineStr">
        <is>
          <t>Diferencia sostenida</t>
        </is>
      </c>
      <c r="B22" t="inlineStr">
        <is>
          <t>puntos porcentuales</t>
        </is>
      </c>
      <c r="C22" s="7">
        <f>IF(C11="","—",C11-C9)</f>
        <v/>
      </c>
      <c r="D22" s="7">
        <f>IF(D11="","—",D11-D9)</f>
        <v/>
      </c>
      <c r="E22" s="7">
        <f>IF(E11="","—",E11-E9)</f>
        <v/>
      </c>
    </row>
    <row r="23">
      <c r="A23" s="2" t="inlineStr">
        <is>
          <t>Costo por persona adicional sostenida</t>
        </is>
      </c>
      <c r="B23" t="inlineStr">
        <is>
          <t>COP</t>
        </is>
      </c>
      <c r="C23" s="8">
        <f>IF(C11="","—",IF(C6*(C11-C9)&gt;0,(C8+C6*C7)/(C6*(C11-C9)/100),"Sin efecto sostenido"))</f>
        <v/>
      </c>
      <c r="D23" s="8">
        <f>IF(D11="","—",IF(D6*(D11-D9)&gt;0,(D8+D6*D7)/(D6*(D11-D9)/100),"Sin efecto sostenido"))</f>
        <v/>
      </c>
      <c r="E23" s="8">
        <f>IF(E11="","—",IF(E6*(E11-E9)&gt;0,(E8+E6*E7)/(E6*(E11-E9)/100),"Sin efecto sostenido"))</f>
        <v/>
      </c>
    </row>
    <row r="24">
      <c r="A24" s="2" t="inlineStr">
        <is>
          <t>Frente al valor de referencia</t>
        </is>
      </c>
      <c r="B24" t="inlineStr"/>
      <c r="C24" s="12">
        <f>IF(OR(C12="",C6*(C10-C9)&lt;=0),"—",IF((C8+C6*C7)/(C6*(C10-C9)/100)&lt;=C12,"Por debajo del valor de referencia","Por encima del valor de referencia"))</f>
        <v/>
      </c>
      <c r="D24" s="12">
        <f>IF(OR(D12="",D6*(D10-D9)&lt;=0),"—",IF((D8+D6*D7)/(D6*(D10-D9)/100)&lt;=D12,"Por debajo del valor de referencia","Por encima del valor de referencia"))</f>
        <v/>
      </c>
      <c r="E24" s="12">
        <f>IF(OR(E12="",E6*(E10-E9)&lt;=0),"—",IF((E8+E6*E7)/(E6*(E10-E9)/100)&lt;=E12,"Por debajo del valor de referencia","Por encima del valor de referencia"))</f>
        <v/>
      </c>
    </row>
  </sheetData>
  <sheetProtection selectLockedCells="0" selectUnlockedCells="0" sheet="1" objects="0" insertRows="1" insertHyperlinks="1" autoFilter="1" scenarios="0" formatColumns="1" deleteColumns="1" insertColumns="1" pivotTables="1" deleteRows="1" formatCells="1" formatRows="1" sort="1"/>
  <mergeCells count="1">
    <mergeCell ref="A2:E2"/>
  </mergeCells>
  <dataValidations count="1">
    <dataValidation sqref="C9:E9 C10:E10 C11:E11" showDropDown="0" showInputMessage="0" showErrorMessage="1" allowBlank="1" error="Use un porcentaje entre 0 y 100"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00" customWidth="1" min="2" max="2"/>
  </cols>
  <sheetData>
    <row r="1" ht="75" customHeight="1">
      <c r="A1" s="10" t="inlineStr">
        <is>
          <t>Cómo leer el resultado</t>
        </is>
      </c>
      <c r="B1" s="2" t="inlineStr">
        <is>
          <t>El costo de un punto es el costo total de la intervención dividido por los puntos porcentuales ganados en la cohorte intervenida. Para comparar programas de distinto tamaño, use el costo por persona adicional.</t>
        </is>
      </c>
    </row>
    <row r="2" ht="75" customHeight="1">
      <c r="A2" s="10" t="inlineStr">
        <is>
          <t>Caso real · SMS VPH</t>
        </is>
      </c>
      <c r="B2" s="2" t="inlineStr">
        <is>
          <t>Compensar EPS y American Cancer Society (2026). 6.915 padres de niños y niñas de 9 años asignados al azar a control (3.650) o intervención (3.265; 8 SMS en 10 semanas). Vacunación 6,83 % vs. 4,05 %. Unos 29.600 mensajes a ~5 pesos cada uno; el costo por persona (45,3 pesos) es un cálculo del autor (29.600 × 5 / 3.265). El reporte estima ~1.626 pesos por niño vacunado adicional. Reporte de caso, no revisado por pares. https://preventglobalhpvcancers.org/wp-content/uploads/2026/07/Compensar_Case-Study_Espanol-1.pdf</t>
        </is>
      </c>
    </row>
    <row r="3" ht="75" customHeight="1">
      <c r="A3" s="10" t="inlineStr">
        <is>
          <t>Ejercicio ilustrativo</t>
        </is>
      </c>
      <c r="B3" s="2" t="inlineStr">
        <is>
          <t>Datos ficticios: incentivo de 240.000 pesos por paciente durante seis meses; adherencia del 50 % al 62 %, y del 52 % tras retirar el incentivo.</t>
        </is>
      </c>
    </row>
    <row r="4" ht="75" customHeight="1">
      <c r="A4" s="10" t="inlineStr">
        <is>
          <t>Mi programa</t>
        </is>
      </c>
      <c r="B4" s="2" t="inlineStr">
        <is>
          <t>Valores de ejemplo sin fuente: reemplácelos por los de su institución.</t>
        </is>
      </c>
    </row>
    <row r="5" ht="75" customHeight="1">
      <c r="A5" s="10" t="inlineStr">
        <is>
          <t>Advertencias</t>
        </is>
      </c>
      <c r="B5" s="2" t="inlineStr">
        <is>
          <t>La diferencia solo es atribuible a la intervención si el grupo de comparación es válido. La plantilla no ajusta por inflación, no descuenta y no incluye costos evitados ni resultados en salud.</t>
        </is>
      </c>
    </row>
    <row r="6" ht="75" customHeight="1">
      <c r="A6" s="10" t="inlineStr">
        <is>
          <t>Autoría y licencia</t>
        </is>
      </c>
      <c r="B6" s="2" t="inlineStr">
        <is>
          <t>Fabian Dávila Ramírez, MD, MBA, PhD · FUCS · Universidad de Navarra · Universidad de Bogotá Jorge Tadeo Lozano. CC BY 4.0. Explorador: https://github.com/fadavilar/nudge-incentivo-salud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2026-10-20T16:12:58Z</dcterms:created>
  <dcterms:modified xmlns:dcterms="http://purl.org/dc/terms/" xmlns:xsi="http://www.w3.org/2001/XMLSchema-instance" xsi:type="dcterms:W3CDTF">2026-10-20T16:12:58Z</dcterms:modified>
</cp:coreProperties>
</file>